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sos Sociales - SUCIOS." sheetId="1" r:id="rId5"/>
    <sheet state="visible" name="Casos Sociales - LIMPIOS." sheetId="2" r:id="rId6"/>
    <sheet state="visible" name="Tabla Dinamica" sheetId="3" r:id="rId7"/>
  </sheets>
  <definedNames/>
  <calcPr/>
  <pivotCaches>
    <pivotCache cacheId="0" r:id="rId8"/>
  </pivotCaches>
</workbook>
</file>

<file path=xl/sharedStrings.xml><?xml version="1.0" encoding="utf-8"?>
<sst xmlns="http://schemas.openxmlformats.org/spreadsheetml/2006/main" count="284" uniqueCount="71">
  <si>
    <t>CASO-1000</t>
  </si>
  <si>
    <t>ID</t>
  </si>
  <si>
    <t>FECHA SOLICITUD</t>
  </si>
  <si>
    <t>FECHA RESOLUCION</t>
  </si>
  <si>
    <t>TIPO DE AYUDA</t>
  </si>
  <si>
    <t>MENORES A CARGO</t>
  </si>
  <si>
    <t>Alimentos</t>
  </si>
  <si>
    <t>INGRESOS MENSUALES</t>
  </si>
  <si>
    <t>CASO-1001</t>
  </si>
  <si>
    <t>DIAS DE ESPERA</t>
  </si>
  <si>
    <t>CASO-1002</t>
  </si>
  <si>
    <t>ESTADO / CASO INJUSTIFICADO</t>
  </si>
  <si>
    <t>DOCUMENT.SOLICITADA EMERGENCIA ALIMENTARIA</t>
  </si>
  <si>
    <t>CASO-1003</t>
  </si>
  <si>
    <t>UNIDAD TRAMITADDRA</t>
  </si>
  <si>
    <t>Renta Mínima</t>
  </si>
  <si>
    <t xml:space="preserve"> </t>
  </si>
  <si>
    <t>CASO-1004</t>
  </si>
  <si>
    <t>CASO-1005</t>
  </si>
  <si>
    <t>CASO-1006</t>
  </si>
  <si>
    <t>CASO-1007</t>
  </si>
  <si>
    <t>CASO-1008</t>
  </si>
  <si>
    <t>CASO-1009</t>
  </si>
  <si>
    <t>CASO-1010</t>
  </si>
  <si>
    <t>CASO-1011</t>
  </si>
  <si>
    <t>CASO-1012</t>
  </si>
  <si>
    <t>CASO-1013</t>
  </si>
  <si>
    <t>CASO-1014</t>
  </si>
  <si>
    <t>CASO-1015</t>
  </si>
  <si>
    <t>CASO-1016</t>
  </si>
  <si>
    <t>CASO-1017</t>
  </si>
  <si>
    <t>CASO-1018</t>
  </si>
  <si>
    <t>CASO-1019</t>
  </si>
  <si>
    <t>CASO-1020</t>
  </si>
  <si>
    <t>CASO-1021</t>
  </si>
  <si>
    <t>CASO-1022</t>
  </si>
  <si>
    <t>CASO-1023</t>
  </si>
  <si>
    <t>CASO-1024</t>
  </si>
  <si>
    <t>CASO-1025</t>
  </si>
  <si>
    <t>CASO-1026</t>
  </si>
  <si>
    <t>Zona Centro</t>
  </si>
  <si>
    <t>CASO-1027</t>
  </si>
  <si>
    <t>CASO-1028</t>
  </si>
  <si>
    <t>CASO-1029</t>
  </si>
  <si>
    <t>CASO-1030</t>
  </si>
  <si>
    <t>CASO-1031</t>
  </si>
  <si>
    <t>CASO-1032</t>
  </si>
  <si>
    <t>Zona Norte</t>
  </si>
  <si>
    <t>CASO-1033</t>
  </si>
  <si>
    <t>CASO-1034</t>
  </si>
  <si>
    <t>CASO-1035</t>
  </si>
  <si>
    <t>CASO-1036</t>
  </si>
  <si>
    <t>Zona Sur</t>
  </si>
  <si>
    <t>CASO-1037</t>
  </si>
  <si>
    <t>CASO-1038</t>
  </si>
  <si>
    <t>CASO-1039</t>
  </si>
  <si>
    <t>PENDIENTE: Sin Resolver</t>
  </si>
  <si>
    <t>CASO-1040</t>
  </si>
  <si>
    <t>CASO-1041</t>
  </si>
  <si>
    <t>CASO-1042</t>
  </si>
  <si>
    <t>CASO-1043</t>
  </si>
  <si>
    <t>CASO-1044</t>
  </si>
  <si>
    <t>CASO-1045</t>
  </si>
  <si>
    <t>CASO-1046</t>
  </si>
  <si>
    <t>CASO-1047</t>
  </si>
  <si>
    <t>CASO-1048</t>
  </si>
  <si>
    <t>CASO-1049</t>
  </si>
  <si>
    <t>ERROR:Datos invertidos</t>
  </si>
  <si>
    <t>COUNTA de ID</t>
  </si>
  <si>
    <t>AVERAGE de DOCUMENT.SOLICITADA EMERGENCIA ALIMENTARIA</t>
  </si>
  <si>
    <t>Suma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</si>
</sst>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yyyy-mm-dd"/>
    <numFmt numFmtId="166" formatCode="d/MM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theme="9"/>
        <bgColor theme="9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horizontal="center" readingOrder="0"/>
    </xf>
    <xf borderId="0" fillId="0" fontId="1" numFmtId="164" xfId="0" applyAlignment="1" applyFont="1" applyNumberFormat="1">
      <alignment readingOrder="0"/>
    </xf>
    <xf borderId="0" fillId="2" fontId="2" numFmtId="0" xfId="0" applyAlignment="1" applyFill="1" applyFont="1">
      <alignment horizontal="center"/>
    </xf>
    <xf borderId="0" fillId="0" fontId="1" numFmtId="0" xfId="0" applyAlignment="1" applyFon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0" fillId="0" fontId="1" numFmtId="0" xfId="0" applyAlignment="1" applyFont="1">
      <alignment horizontal="center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horizontal="center" readingOrder="0"/>
    </xf>
    <xf borderId="0" fillId="0" fontId="1" numFmtId="164" xfId="0" applyAlignment="1" applyFont="1" applyNumberFormat="1">
      <alignment horizontal="center"/>
    </xf>
    <xf borderId="0" fillId="0" fontId="1" numFmtId="0" xfId="0" applyFont="1"/>
  </cellXfs>
  <cellStyles count="1">
    <cellStyle xfId="0" name="Normal" builtinId="0"/>
  </cellStyles>
  <dxfs count="1">
    <dxf>
      <font>
        <color theme="0"/>
      </font>
      <fill>
        <patternFill patternType="solid">
          <fgColor rgb="FFCE0EAF"/>
          <bgColor rgb="FFCE0EA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Z1000" sheet="Casos Sociales - LIMPIOS."/>
  </cacheSource>
  <cacheFields>
    <cacheField name="ID" numFmtId="0">
      <sharedItems containsBlank="1">
        <s v="CASO-1001"/>
        <s v="CASO-1002"/>
        <s v="CASO-1003"/>
        <s v="CASO-1004"/>
        <s v="CASO-1005"/>
        <s v="CASO-1006"/>
        <s v="CASO-1007"/>
        <s v="CASO-1008"/>
        <s v="CASO-1009"/>
        <s v="CASO-1010"/>
        <s v="CASO-1011"/>
        <s v="CASO-1012"/>
        <s v="CASO-1013"/>
        <s v="CASO-1014"/>
        <s v="CASO-1015"/>
        <s v="CASO-1016"/>
        <s v="CASO-1017"/>
        <s v="CASO-1018"/>
        <s v="CASO-1019"/>
        <s v="CASO-1020"/>
        <s v="CASO-1021"/>
        <s v="CASO-1022"/>
        <s v="CASO-1023"/>
        <s v="CASO-1024"/>
        <s v="CASO-1025"/>
        <s v="CASO-1026"/>
        <s v="CASO-1027"/>
        <s v="CASO-1028"/>
        <s v="CASO-1029"/>
        <s v="CASO-1030"/>
        <s v="CASO-1031"/>
        <s v="CASO-1032"/>
        <s v="CASO-1033"/>
        <s v="CASO-1034"/>
        <s v="CASO-1035"/>
        <s v="CASO-1036"/>
        <s v="CASO-1037"/>
        <s v="CASO-1038"/>
        <s v="CASO-1039"/>
        <s v="CASO-1040"/>
        <s v="CASO-1041"/>
        <s v="CASO-1042"/>
        <s v="CASO-1043"/>
        <s v="CASO-1044"/>
        <s v="CASO-1045"/>
        <s v="CASO-1046"/>
        <s v="CASO-1047"/>
        <s v="CASO-1048"/>
        <s v="CASO-1049"/>
        <m/>
      </sharedItems>
    </cacheField>
    <cacheField name="FECHA SOLICITUD" numFmtId="164">
      <sharedItems containsDate="1" containsString="0" containsBlank="1">
        <d v="2026-03-24T00:00:00Z"/>
        <d v="2026-01-24T00:00:00Z"/>
        <d v="2026-01-30T00:00:00Z"/>
        <d v="2026-03-17T00:00:00Z"/>
        <d v="2026-02-18T00:00:00Z"/>
        <d v="2026-03-01T00:00:00Z"/>
        <d v="2026-02-24T00:00:00Z"/>
        <d v="2026-01-07T00:00:00Z"/>
        <d v="2026-03-30T00:00:00Z"/>
        <d v="2026-02-22T00:00:00Z"/>
        <d v="2026-02-13T00:00:00Z"/>
        <d v="2026-02-05T00:00:00Z"/>
        <d v="2026-01-06T00:00:00Z"/>
        <d v="2026-03-31T00:00:00Z"/>
        <d v="2026-02-17T00:00:00Z"/>
        <d v="2026-03-03T00:00:00Z"/>
        <d v="2026-02-10T00:00:00Z"/>
        <d v="2026-01-09T00:00:00Z"/>
        <d v="2026-03-22T00:00:00Z"/>
        <d v="2026-02-02T00:00:00Z"/>
        <d v="2026-02-06T00:00:00Z"/>
        <d v="2026-03-06T00:00:00Z"/>
        <d v="2026-01-05T00:00:00Z"/>
        <d v="2026-02-20T00:00:00Z"/>
        <d v="2026-01-04T00:00:00Z"/>
        <d v="2026-01-15T00:00:00Z"/>
        <d v="2026-02-28T00:00:00Z"/>
        <d v="2026-03-11T00:00:00Z"/>
        <d v="2026-02-01T00:00:00Z"/>
        <d v="2026-02-27T00:00:00Z"/>
        <d v="2026-02-25T00:00:00Z"/>
        <d v="2026-02-23T00:00:00Z"/>
        <d v="2026-01-02T00:00:00Z"/>
        <d v="2026-03-09T00:00:00Z"/>
        <d v="2026-01-16T00:00:00Z"/>
        <d v="2026-01-03T00:00:00Z"/>
        <d v="2026-02-21T00:00:00Z"/>
        <d v="2026-01-01T00:00:00Z"/>
        <d v="2026-01-31T00:00:00Z"/>
        <m/>
      </sharedItems>
    </cacheField>
    <cacheField name="FECHA RESOLUCION" numFmtId="164">
      <sharedItems containsDate="1" containsString="0" containsBlank="1">
        <d v="2026-05-13T00:00:00Z"/>
        <d v="2026-03-23T00:00:00Z"/>
        <d v="2026-03-18T00:00:00Z"/>
        <m/>
        <d v="2026-04-01T00:00:00Z"/>
        <d v="2026-05-05T00:00:00Z"/>
        <d v="2026-04-30T00:00:00Z"/>
        <d v="2026-01-02T00:00:00Z"/>
        <d v="2026-05-09T00:00:00Z"/>
        <d v="2026-03-15T00:00:00Z"/>
        <d v="2026-03-16T00:00:00Z"/>
        <d v="2026-02-07T00:00:00Z"/>
        <d v="2026-04-28T00:00:00Z"/>
        <d v="2026-04-29T00:00:00Z"/>
        <d v="2026-05-03T00:00:00Z"/>
        <d v="2026-05-07T00:00:00Z"/>
        <d v="2026-03-03T00:00:00Z"/>
        <d v="2026-02-03T00:00:00Z"/>
        <d v="2026-04-10T00:00:00Z"/>
        <d v="2026-03-30T00:00:00Z"/>
        <d v="2026-05-15T00:00:00Z"/>
        <d v="2026-03-27T00:00:00Z"/>
        <d v="2026-03-21T00:00:00Z"/>
        <d v="2026-02-15T00:00:00Z"/>
        <d v="2026-02-05T00:00:00Z"/>
        <d v="2026-04-07T00:00:00Z"/>
        <d v="2026-04-26T00:00:00Z"/>
        <d v="2026-05-10T00:00:00Z"/>
        <d v="2026-04-25T00:00:00Z"/>
        <d v="2026-04-27T00:00:00Z"/>
        <d v="2026-04-05T00:00:00Z"/>
        <d v="2026-04-08T00:00:00Z"/>
        <d v="2026-03-28T00:00:00Z"/>
        <d v="2026-02-17T00:00:00Z"/>
        <d v="2026-02-18T00:00:00Z"/>
        <d v="2026-04-21T00:00:00Z"/>
        <d v="2026-03-25T00:00:00Z"/>
        <d v="2026-03-02T00:00:00Z"/>
      </sharedItems>
    </cacheField>
    <cacheField name="TIPO DE AYUDA" numFmtId="0">
      <sharedItems containsBlank="1">
        <s v="Alimentos"/>
        <s v="Renta Mínima"/>
        <m/>
      </sharedItems>
    </cacheField>
    <cacheField name="MENORES A CARGO" numFmtId="0">
      <sharedItems containsString="0" containsBlank="1" containsNumber="1" containsInteger="1">
        <n v="0.0"/>
        <n v="1.0"/>
        <n v="2.0"/>
        <n v="3.0"/>
        <m/>
      </sharedItems>
    </cacheField>
    <cacheField name="INGRESOS MENSUALES" numFmtId="0">
      <sharedItems containsString="0" containsBlank="1" containsNumber="1" containsInteger="1">
        <n v="420.0"/>
        <n v="600.0"/>
        <n v="150.0"/>
        <n v="0.0"/>
        <n v="300.0"/>
        <m/>
      </sharedItems>
    </cacheField>
    <cacheField name="DIAS DE ESPERA">
      <sharedItems containsBlank="1" containsMixedTypes="1" containsNumber="1" containsInteger="1">
        <n v="50.0"/>
        <n v="58.0"/>
        <n v="47.0"/>
        <s v="PENDIENTE: Sin Resolver"/>
        <n v="42.0"/>
        <n v="65.0"/>
        <s v="ERROR:Datos invertidos"/>
        <n v="40.0"/>
        <n v="21.0"/>
        <n v="31.0"/>
        <n v="32.0"/>
        <n v="28.0"/>
        <n v="71.0"/>
        <n v="61.0"/>
        <n v="74.0"/>
        <n v="25.0"/>
        <n v="19.0"/>
        <n v="48.0"/>
        <n v="102.0"/>
        <n v="49.0"/>
        <n v="15.0"/>
        <n v="41.0"/>
        <n v="27.0"/>
        <n v="46.0"/>
        <n v="-46026.0"/>
        <n v="59.0"/>
        <n v="72.0"/>
        <n v="53.0"/>
        <n v="68.0"/>
        <n v="63.0"/>
        <n v="17.0"/>
        <n v="33.0"/>
        <n v="52.0"/>
        <n v="30.0"/>
        <n v="-46025.0"/>
        <n v="37.0"/>
        <m/>
      </sharedItems>
    </cacheField>
    <cacheField name="ESTADO / CASO INJUSTIFICADO" numFmtId="0">
      <sharedItems containsBlank="1">
        <s v="ALERTA: Retraso Injustificado"/>
        <s v="Tramitado a Tiempo"/>
        <m/>
      </sharedItems>
    </cacheField>
    <cacheField name="DOCUMENT.SOLICITADA EMERGENCIA ALIMENTARIA" numFmtId="0">
      <sharedItems containsString="0" containsBlank="1" containsNumber="1" containsInteger="1">
        <n v="5.0"/>
        <n v="6.0"/>
        <n v="4.0"/>
        <n v="7.0"/>
        <n v="8.0"/>
        <n v="3.0"/>
        <m/>
      </sharedItems>
    </cacheField>
    <cacheField name="UNIDAD TRAMITADDRA" numFmtId="0">
      <sharedItems containsBlank="1">
        <s v="Zona Centro"/>
        <s v="Zona Norte"/>
        <s v="Zona Sur"/>
        <m/>
      </sharedItems>
    </cacheField>
    <cacheField name=" " numFmtId="0">
      <sharedItems containsString="0" containsBlank="1">
        <m/>
      </sharedItems>
    </cacheField>
    <cacheField name=" 2" numFmtId="0">
      <sharedItems containsString="0" containsBlank="1">
        <m/>
      </sharedItems>
    </cacheField>
    <cacheField name=" 3" numFmtId="0">
      <sharedItems containsString="0" containsBlank="1">
        <m/>
      </sharedItems>
    </cacheField>
    <cacheField name=" 4" numFmtId="0">
      <sharedItems containsString="0" containsBlank="1">
        <m/>
      </sharedItems>
    </cacheField>
    <cacheField name=" 5" numFmtId="0">
      <sharedItems containsString="0" containsBlank="1">
        <m/>
      </sharedItems>
    </cacheField>
    <cacheField name=" 6" numFmtId="0">
      <sharedItems containsString="0" containsBlank="1">
        <m/>
      </sharedItems>
    </cacheField>
    <cacheField name=" 7" numFmtId="0">
      <sharedItems containsString="0" containsBlank="1">
        <m/>
      </sharedItems>
    </cacheField>
    <cacheField name=" 8" numFmtId="0">
      <sharedItems containsString="0" containsBlank="1">
        <m/>
      </sharedItems>
    </cacheField>
    <cacheField name=" 9" numFmtId="0">
      <sharedItems containsString="0" containsBlank="1">
        <m/>
      </sharedItems>
    </cacheField>
    <cacheField name=" 10" numFmtId="0">
      <sharedItems containsString="0" containsBlank="1">
        <m/>
      </sharedItems>
    </cacheField>
    <cacheField name=" 11" numFmtId="0">
      <sharedItems containsString="0" containsBlank="1">
        <m/>
      </sharedItems>
    </cacheField>
    <cacheField name=" 12" numFmtId="0">
      <sharedItems containsString="0" containsBlank="1">
        <m/>
      </sharedItems>
    </cacheField>
    <cacheField name=" 13" numFmtId="0">
      <sharedItems containsString="0" containsBlank="1">
        <m/>
      </sharedItems>
    </cacheField>
    <cacheField name=" 14" numFmtId="0">
      <sharedItems containsString="0" containsBlank="1">
        <m/>
      </sharedItems>
    </cacheField>
    <cacheField name=" 15" numFmtId="0">
      <sharedItems containsString="0" containsBlank="1">
        <m/>
      </sharedItems>
    </cacheField>
    <cacheField name=" 16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 Dinamica" cacheId="0" dataCaption="" compact="0" compactData="0">
  <location ref="A1:C5" firstHeaderRow="0" firstDataRow="2" firstDataCol="0"/>
  <pivotFields>
    <pivotField name="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FECHA SOLICITUD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FECHA RESOLUCION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name="TIPO DE AYUDA" compact="0" outline="0" multipleItemSelectionAllowed="1" showAll="0">
      <items>
        <item x="0"/>
        <item x="1"/>
        <item x="2"/>
        <item t="default"/>
      </items>
    </pivotField>
    <pivotField name="MENORES A CARG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INGRESOS MENSUALES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DIAS DE ESPER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ESTADO / CASO INJUSTIFICADO" compact="0" outline="0" multipleItemSelectionAllowed="1" showAll="0">
      <items>
        <item x="0"/>
        <item x="1"/>
        <item x="2"/>
        <item t="default"/>
      </items>
    </pivotField>
    <pivotField name="DOCUMENT.SOLICITADA EMERGENCIA ALIMENTARIA" dataField="1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UNIDAD TRAMITADDRA" axis="axisRow" compact="0" outline="0" multipleItemSelectionAllowed="1" showAll="0" sortType="ascending">
      <items>
        <item h="1" x="3"/>
        <item x="0"/>
        <item x="1"/>
        <item x="2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  <pivotField name=" 5" compact="0" outline="0" multipleItemSelectionAllowed="1" showAll="0">
      <items>
        <item x="0"/>
        <item t="default"/>
      </items>
    </pivotField>
    <pivotField name=" 6" compact="0" outline="0" multipleItemSelectionAllowed="1" showAll="0">
      <items>
        <item x="0"/>
        <item t="default"/>
      </items>
    </pivotField>
    <pivotField name=" 7" compact="0" outline="0" multipleItemSelectionAllowed="1" showAll="0">
      <items>
        <item x="0"/>
        <item t="default"/>
      </items>
    </pivotField>
    <pivotField name=" 8" compact="0" outline="0" multipleItemSelectionAllowed="1" showAll="0">
      <items>
        <item x="0"/>
        <item t="default"/>
      </items>
    </pivotField>
    <pivotField name=" 9" compact="0" outline="0" multipleItemSelectionAllowed="1" showAll="0">
      <items>
        <item x="0"/>
        <item t="default"/>
      </items>
    </pivotField>
    <pivotField name=" 10" compact="0" outline="0" multipleItemSelectionAllowed="1" showAll="0">
      <items>
        <item x="0"/>
        <item t="default"/>
      </items>
    </pivotField>
    <pivotField name=" 11" compact="0" outline="0" multipleItemSelectionAllowed="1" showAll="0">
      <items>
        <item x="0"/>
        <item t="default"/>
      </items>
    </pivotField>
    <pivotField name=" 12" compact="0" outline="0" multipleItemSelectionAllowed="1" showAll="0">
      <items>
        <item x="0"/>
        <item t="default"/>
      </items>
    </pivotField>
    <pivotField name=" 13" compact="0" outline="0" multipleItemSelectionAllowed="1" showAll="0">
      <items>
        <item x="0"/>
        <item t="default"/>
      </items>
    </pivotField>
    <pivotField name=" 14" compact="0" outline="0" multipleItemSelectionAllowed="1" showAll="0">
      <items>
        <item x="0"/>
        <item t="default"/>
      </items>
    </pivotField>
    <pivotField name=" 15" compact="0" outline="0" multipleItemSelectionAllowed="1" showAll="0">
      <items>
        <item x="0"/>
        <item t="default"/>
      </items>
    </pivotField>
    <pivotField name=" 16" compact="0" outline="0" multipleItemSelectionAllowed="1" showAll="0">
      <items>
        <item x="0"/>
        <item t="default"/>
      </items>
    </pivotField>
  </pivotFields>
  <rowFields>
    <field x="9"/>
  </rowFields>
  <colFields>
    <field x="-2"/>
  </colFields>
  <dataFields>
    <dataField name="COUNTA of ID" fld="0" subtotal="count" baseField="0"/>
    <dataField name="AVERAGE of DOCUMENT.SOLICITADA EMERGENCIA ALIMENTARIA" fld="8" subtotal="average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3">
        <v>46074.0</v>
      </c>
      <c r="C1" s="3">
        <v>46109.0</v>
      </c>
      <c r="D1" s="1" t="s">
        <v>6</v>
      </c>
      <c r="E1" s="1">
        <v>0.0</v>
      </c>
      <c r="F1" s="1">
        <v>420.0</v>
      </c>
    </row>
    <row r="2">
      <c r="A2" s="1" t="s">
        <v>8</v>
      </c>
      <c r="B2" s="3">
        <v>46105.0</v>
      </c>
      <c r="C2" s="3">
        <v>46155.0</v>
      </c>
      <c r="D2" s="1" t="s">
        <v>6</v>
      </c>
      <c r="E2" s="1">
        <v>0.0</v>
      </c>
      <c r="F2" s="1">
        <v>420.0</v>
      </c>
    </row>
    <row r="3">
      <c r="A3" s="1" t="s">
        <v>10</v>
      </c>
      <c r="B3" s="3">
        <v>46046.0</v>
      </c>
      <c r="C3" s="3">
        <v>46104.0</v>
      </c>
      <c r="D3" s="1" t="s">
        <v>6</v>
      </c>
      <c r="E3" s="1">
        <v>0.0</v>
      </c>
      <c r="F3" s="1">
        <v>600.0</v>
      </c>
    </row>
    <row r="4">
      <c r="A4" s="1" t="s">
        <v>13</v>
      </c>
      <c r="B4" s="3">
        <v>46052.0</v>
      </c>
      <c r="C4" s="3">
        <v>46099.0</v>
      </c>
      <c r="D4" s="1" t="s">
        <v>15</v>
      </c>
      <c r="E4" s="1">
        <v>0.0</v>
      </c>
      <c r="F4" s="1">
        <v>600.0</v>
      </c>
    </row>
    <row r="5">
      <c r="A5" s="1" t="s">
        <v>17</v>
      </c>
      <c r="B5" s="3">
        <v>46098.0</v>
      </c>
      <c r="D5" s="1" t="s">
        <v>6</v>
      </c>
      <c r="E5" s="1">
        <v>1.0</v>
      </c>
      <c r="F5" s="1">
        <v>150.0</v>
      </c>
    </row>
    <row r="6">
      <c r="A6" s="1" t="s">
        <v>18</v>
      </c>
      <c r="B6" s="3">
        <v>46071.0</v>
      </c>
      <c r="C6" s="3">
        <v>46113.0</v>
      </c>
      <c r="D6" s="1" t="s">
        <v>6</v>
      </c>
      <c r="E6" s="1">
        <v>1.0</v>
      </c>
      <c r="F6" s="1">
        <v>0.0</v>
      </c>
    </row>
    <row r="7">
      <c r="A7" s="1" t="s">
        <v>19</v>
      </c>
      <c r="B7" s="3">
        <v>46082.0</v>
      </c>
      <c r="C7" s="3">
        <v>46147.0</v>
      </c>
      <c r="D7" s="1" t="s">
        <v>6</v>
      </c>
      <c r="E7" s="1">
        <v>0.0</v>
      </c>
      <c r="F7" s="1">
        <v>0.0</v>
      </c>
    </row>
    <row r="8">
      <c r="A8" s="1" t="s">
        <v>20</v>
      </c>
      <c r="B8" s="3">
        <v>46077.0</v>
      </c>
      <c r="C8" s="3">
        <v>46142.0</v>
      </c>
      <c r="D8" s="1" t="s">
        <v>15</v>
      </c>
      <c r="E8" s="1">
        <v>1.0</v>
      </c>
      <c r="F8" s="1">
        <v>0.0</v>
      </c>
    </row>
    <row r="9">
      <c r="A9" s="1" t="s">
        <v>21</v>
      </c>
      <c r="B9" s="3">
        <v>46029.0</v>
      </c>
      <c r="C9" s="3">
        <v>46024.0</v>
      </c>
      <c r="D9" s="1" t="s">
        <v>6</v>
      </c>
      <c r="E9" s="1">
        <v>1.0</v>
      </c>
      <c r="F9" s="1">
        <v>0.0</v>
      </c>
    </row>
    <row r="10">
      <c r="A10" s="1" t="s">
        <v>22</v>
      </c>
      <c r="B10" s="3">
        <v>46111.0</v>
      </c>
      <c r="C10" s="3">
        <v>46151.0</v>
      </c>
      <c r="D10" s="1" t="s">
        <v>6</v>
      </c>
      <c r="E10" s="1">
        <v>1.0</v>
      </c>
      <c r="F10" s="1">
        <v>150.0</v>
      </c>
    </row>
    <row r="11">
      <c r="A11" s="1" t="s">
        <v>23</v>
      </c>
      <c r="B11" s="3">
        <v>46075.0</v>
      </c>
      <c r="C11" s="3">
        <v>46096.0</v>
      </c>
      <c r="D11" s="1" t="s">
        <v>6</v>
      </c>
      <c r="E11" s="1">
        <v>1.0</v>
      </c>
      <c r="F11" s="1">
        <v>150.0</v>
      </c>
    </row>
    <row r="12">
      <c r="A12" s="1" t="s">
        <v>24</v>
      </c>
      <c r="B12" s="3">
        <v>46066.0</v>
      </c>
      <c r="C12" s="3">
        <v>46097.0</v>
      </c>
      <c r="D12" s="1" t="s">
        <v>15</v>
      </c>
      <c r="E12" s="1">
        <v>2.0</v>
      </c>
      <c r="F12" s="1">
        <v>0.0</v>
      </c>
    </row>
    <row r="13">
      <c r="A13" s="1" t="s">
        <v>25</v>
      </c>
      <c r="B13" s="3">
        <v>46058.0</v>
      </c>
      <c r="D13" s="1" t="s">
        <v>6</v>
      </c>
      <c r="E13" s="1">
        <v>1.0</v>
      </c>
      <c r="F13" s="1">
        <v>150.0</v>
      </c>
    </row>
    <row r="14">
      <c r="A14" s="1" t="s">
        <v>26</v>
      </c>
      <c r="B14" s="3">
        <v>46028.0</v>
      </c>
      <c r="C14" s="3">
        <v>46060.0</v>
      </c>
      <c r="D14" s="1" t="s">
        <v>6</v>
      </c>
      <c r="E14" s="1">
        <v>1.0</v>
      </c>
      <c r="F14" s="1">
        <v>0.0</v>
      </c>
    </row>
    <row r="15">
      <c r="A15" s="1" t="s">
        <v>27</v>
      </c>
      <c r="B15" s="3">
        <v>46112.0</v>
      </c>
      <c r="C15" s="3">
        <v>46140.0</v>
      </c>
      <c r="D15" s="1" t="s">
        <v>6</v>
      </c>
      <c r="E15" s="1">
        <v>3.0</v>
      </c>
      <c r="F15" s="1">
        <v>420.0</v>
      </c>
    </row>
    <row r="16">
      <c r="A16" s="1" t="s">
        <v>28</v>
      </c>
      <c r="B16" s="3">
        <v>46070.0</v>
      </c>
      <c r="C16" s="3">
        <v>46141.0</v>
      </c>
      <c r="D16" s="1" t="s">
        <v>15</v>
      </c>
      <c r="E16" s="1">
        <v>0.0</v>
      </c>
      <c r="F16" s="1">
        <v>0.0</v>
      </c>
    </row>
    <row r="17">
      <c r="A17" s="1" t="s">
        <v>29</v>
      </c>
      <c r="B17" s="3">
        <v>46084.0</v>
      </c>
      <c r="C17" s="3">
        <v>46145.0</v>
      </c>
      <c r="D17" s="1" t="s">
        <v>6</v>
      </c>
      <c r="E17" s="1">
        <v>2.0</v>
      </c>
      <c r="F17" s="1">
        <v>420.0</v>
      </c>
    </row>
    <row r="18">
      <c r="A18" s="1" t="s">
        <v>30</v>
      </c>
      <c r="B18" s="3">
        <v>46075.0</v>
      </c>
      <c r="C18" s="3">
        <v>46149.0</v>
      </c>
      <c r="D18" s="1" t="s">
        <v>6</v>
      </c>
      <c r="E18" s="1">
        <v>0.0</v>
      </c>
      <c r="F18" s="1">
        <v>0.0</v>
      </c>
    </row>
    <row r="19">
      <c r="A19" s="1" t="s">
        <v>31</v>
      </c>
      <c r="B19" s="3">
        <v>46063.0</v>
      </c>
      <c r="C19" s="3">
        <v>46084.0</v>
      </c>
      <c r="D19" s="1" t="s">
        <v>6</v>
      </c>
      <c r="E19" s="1">
        <v>2.0</v>
      </c>
      <c r="F19" s="1">
        <v>0.0</v>
      </c>
    </row>
    <row r="20">
      <c r="A20" s="1" t="s">
        <v>32</v>
      </c>
      <c r="B20" s="3">
        <v>46031.0</v>
      </c>
      <c r="C20" s="3">
        <v>46056.0</v>
      </c>
      <c r="D20" s="1" t="s">
        <v>15</v>
      </c>
      <c r="E20" s="1">
        <v>0.0</v>
      </c>
      <c r="F20" s="1">
        <v>0.0</v>
      </c>
    </row>
    <row r="21">
      <c r="A21" s="1" t="s">
        <v>33</v>
      </c>
      <c r="B21" s="3">
        <v>46103.0</v>
      </c>
      <c r="C21" s="3">
        <v>46122.0</v>
      </c>
      <c r="D21" s="1" t="s">
        <v>6</v>
      </c>
      <c r="E21" s="1">
        <v>2.0</v>
      </c>
      <c r="F21" s="1">
        <v>420.0</v>
      </c>
    </row>
    <row r="22">
      <c r="A22" s="1" t="s">
        <v>34</v>
      </c>
      <c r="B22" s="3">
        <v>46063.0</v>
      </c>
      <c r="C22" s="3">
        <v>46111.0</v>
      </c>
      <c r="D22" s="1" t="s">
        <v>6</v>
      </c>
      <c r="E22" s="1">
        <v>2.0</v>
      </c>
      <c r="F22" s="1">
        <v>300.0</v>
      </c>
    </row>
    <row r="23">
      <c r="A23" s="1" t="s">
        <v>35</v>
      </c>
      <c r="B23" s="3">
        <v>46055.0</v>
      </c>
      <c r="C23" s="8">
        <v>46157.0</v>
      </c>
      <c r="D23" s="1" t="s">
        <v>6</v>
      </c>
      <c r="E23" s="1">
        <v>0.0</v>
      </c>
      <c r="F23" s="1">
        <v>300.0</v>
      </c>
    </row>
    <row r="24">
      <c r="A24" s="1" t="s">
        <v>36</v>
      </c>
      <c r="B24" s="3">
        <v>46059.0</v>
      </c>
      <c r="C24" s="3">
        <v>46108.0</v>
      </c>
      <c r="D24" s="1" t="s">
        <v>15</v>
      </c>
      <c r="E24" s="1">
        <v>1.0</v>
      </c>
      <c r="F24" s="1">
        <v>0.0</v>
      </c>
    </row>
    <row r="25">
      <c r="A25" s="1" t="s">
        <v>37</v>
      </c>
      <c r="B25" s="3">
        <v>46087.0</v>
      </c>
      <c r="C25" s="3">
        <v>46102.0</v>
      </c>
      <c r="D25" s="1" t="s">
        <v>6</v>
      </c>
      <c r="E25" s="1">
        <v>0.0</v>
      </c>
      <c r="F25" s="1">
        <v>420.0</v>
      </c>
    </row>
    <row r="26">
      <c r="A26" s="1" t="s">
        <v>38</v>
      </c>
      <c r="B26" s="3">
        <v>46027.0</v>
      </c>
      <c r="C26" s="3">
        <v>46068.0</v>
      </c>
      <c r="D26" s="1" t="s">
        <v>6</v>
      </c>
      <c r="E26" s="1">
        <v>0.0</v>
      </c>
      <c r="F26" s="1">
        <v>0.0</v>
      </c>
    </row>
    <row r="27">
      <c r="A27" s="1" t="s">
        <v>39</v>
      </c>
      <c r="B27" s="3">
        <v>46031.0</v>
      </c>
      <c r="C27" s="3">
        <v>46058.0</v>
      </c>
      <c r="D27" s="1" t="s">
        <v>6</v>
      </c>
      <c r="E27" s="1">
        <v>1.0</v>
      </c>
      <c r="F27" s="1">
        <v>0.0</v>
      </c>
    </row>
    <row r="28">
      <c r="A28" s="1" t="s">
        <v>41</v>
      </c>
      <c r="B28" s="3">
        <v>46073.0</v>
      </c>
      <c r="C28" s="3">
        <v>46119.0</v>
      </c>
      <c r="D28" s="1" t="s">
        <v>15</v>
      </c>
      <c r="E28" s="1">
        <v>2.0</v>
      </c>
      <c r="F28" s="1">
        <v>150.0</v>
      </c>
    </row>
    <row r="29">
      <c r="A29" s="1" t="s">
        <v>42</v>
      </c>
      <c r="B29" s="3">
        <v>46026.0</v>
      </c>
      <c r="D29" s="1" t="s">
        <v>6</v>
      </c>
      <c r="E29" s="1">
        <v>0.0</v>
      </c>
      <c r="F29" s="1">
        <v>300.0</v>
      </c>
    </row>
    <row r="30">
      <c r="A30" s="1" t="s">
        <v>43</v>
      </c>
      <c r="B30" s="3">
        <v>46037.0</v>
      </c>
      <c r="C30" s="3">
        <v>46058.0</v>
      </c>
      <c r="D30" s="1" t="s">
        <v>6</v>
      </c>
      <c r="E30" s="1">
        <v>0.0</v>
      </c>
      <c r="F30" s="1">
        <v>600.0</v>
      </c>
    </row>
    <row r="31">
      <c r="A31" s="1" t="s">
        <v>44</v>
      </c>
      <c r="B31" s="3">
        <v>46081.0</v>
      </c>
      <c r="C31" s="3">
        <v>46140.0</v>
      </c>
      <c r="D31" s="1" t="s">
        <v>6</v>
      </c>
      <c r="E31" s="1">
        <v>0.0</v>
      </c>
      <c r="F31" s="1">
        <v>600.0</v>
      </c>
    </row>
    <row r="32">
      <c r="A32" s="1" t="s">
        <v>45</v>
      </c>
      <c r="B32" s="3">
        <v>46084.0</v>
      </c>
      <c r="C32" s="3">
        <v>46142.0</v>
      </c>
      <c r="D32" s="1" t="s">
        <v>15</v>
      </c>
      <c r="E32" s="1">
        <v>0.0</v>
      </c>
      <c r="F32" s="1">
        <v>150.0</v>
      </c>
    </row>
    <row r="33">
      <c r="A33" s="1" t="s">
        <v>46</v>
      </c>
      <c r="B33" s="3">
        <v>46066.0</v>
      </c>
      <c r="C33" s="3">
        <v>46138.0</v>
      </c>
      <c r="D33" s="1" t="s">
        <v>6</v>
      </c>
      <c r="E33" s="1">
        <v>2.0</v>
      </c>
      <c r="F33" s="1">
        <v>300.0</v>
      </c>
    </row>
    <row r="34">
      <c r="A34" s="1" t="s">
        <v>48</v>
      </c>
      <c r="B34" s="3">
        <v>46111.0</v>
      </c>
      <c r="C34" s="3">
        <v>46152.0</v>
      </c>
      <c r="D34" s="1" t="s">
        <v>6</v>
      </c>
      <c r="E34" s="1">
        <v>3.0</v>
      </c>
      <c r="F34" s="1">
        <v>0.0</v>
      </c>
    </row>
    <row r="35">
      <c r="A35" s="1" t="s">
        <v>49</v>
      </c>
      <c r="B35" s="3">
        <v>46084.0</v>
      </c>
      <c r="C35" s="3">
        <v>46137.0</v>
      </c>
      <c r="D35" s="1" t="s">
        <v>6</v>
      </c>
      <c r="E35" s="1">
        <v>2.0</v>
      </c>
      <c r="F35" s="1">
        <v>420.0</v>
      </c>
    </row>
    <row r="36">
      <c r="A36" s="1" t="s">
        <v>50</v>
      </c>
      <c r="B36" s="3">
        <v>46092.0</v>
      </c>
      <c r="C36" s="3">
        <v>46139.0</v>
      </c>
      <c r="D36" s="1" t="s">
        <v>15</v>
      </c>
      <c r="E36" s="1">
        <v>1.0</v>
      </c>
      <c r="F36" s="1">
        <v>150.0</v>
      </c>
    </row>
    <row r="37">
      <c r="A37" s="1" t="s">
        <v>51</v>
      </c>
      <c r="B37" s="3">
        <v>46073.0</v>
      </c>
      <c r="C37" s="3">
        <v>46141.0</v>
      </c>
      <c r="D37" s="1" t="s">
        <v>6</v>
      </c>
      <c r="E37" s="1">
        <v>0.0</v>
      </c>
      <c r="F37" s="1">
        <v>600.0</v>
      </c>
    </row>
    <row r="38">
      <c r="A38" s="1" t="s">
        <v>53</v>
      </c>
      <c r="B38" s="3">
        <v>46054.0</v>
      </c>
      <c r="C38" s="3">
        <v>46117.0</v>
      </c>
      <c r="D38" s="1" t="s">
        <v>6</v>
      </c>
      <c r="E38" s="1">
        <v>1.0</v>
      </c>
      <c r="F38" s="1">
        <v>150.0</v>
      </c>
    </row>
    <row r="39">
      <c r="A39" s="1" t="s">
        <v>54</v>
      </c>
      <c r="B39" s="3">
        <v>46080.0</v>
      </c>
      <c r="C39" s="3">
        <v>46097.0</v>
      </c>
      <c r="D39" s="1" t="s">
        <v>6</v>
      </c>
      <c r="E39" s="1">
        <v>0.0</v>
      </c>
      <c r="F39" s="1">
        <v>300.0</v>
      </c>
    </row>
    <row r="40">
      <c r="A40" s="1" t="s">
        <v>55</v>
      </c>
      <c r="B40" s="3">
        <v>46078.0</v>
      </c>
      <c r="C40" s="3">
        <v>46120.0</v>
      </c>
      <c r="D40" s="1" t="s">
        <v>15</v>
      </c>
      <c r="E40" s="1">
        <v>0.0</v>
      </c>
      <c r="F40" s="1">
        <v>600.0</v>
      </c>
    </row>
    <row r="41">
      <c r="A41" s="1" t="s">
        <v>57</v>
      </c>
      <c r="B41" s="3">
        <v>46076.0</v>
      </c>
      <c r="C41" s="3">
        <v>46109.0</v>
      </c>
      <c r="D41" s="1" t="s">
        <v>6</v>
      </c>
      <c r="E41" s="1">
        <v>0.0</v>
      </c>
      <c r="F41" s="1">
        <v>600.0</v>
      </c>
    </row>
    <row r="42">
      <c r="A42" s="1" t="s">
        <v>58</v>
      </c>
      <c r="B42" s="3">
        <v>46024.0</v>
      </c>
      <c r="C42" s="3">
        <v>46070.0</v>
      </c>
      <c r="D42" s="1" t="s">
        <v>6</v>
      </c>
      <c r="E42" s="1">
        <v>1.0</v>
      </c>
      <c r="F42" s="1">
        <v>600.0</v>
      </c>
    </row>
    <row r="43">
      <c r="A43" s="1" t="s">
        <v>59</v>
      </c>
      <c r="B43" s="3">
        <v>46090.0</v>
      </c>
      <c r="C43" s="3">
        <v>46142.0</v>
      </c>
      <c r="D43" s="1" t="s">
        <v>6</v>
      </c>
      <c r="E43" s="1">
        <v>2.0</v>
      </c>
      <c r="F43" s="1">
        <v>0.0</v>
      </c>
    </row>
    <row r="44">
      <c r="A44" s="1" t="s">
        <v>60</v>
      </c>
      <c r="B44" s="3">
        <v>46046.0</v>
      </c>
      <c r="C44" s="3">
        <v>46071.0</v>
      </c>
      <c r="D44" s="1" t="s">
        <v>15</v>
      </c>
      <c r="E44" s="1">
        <v>1.0</v>
      </c>
      <c r="F44" s="1">
        <v>300.0</v>
      </c>
    </row>
    <row r="45">
      <c r="A45" s="1" t="s">
        <v>61</v>
      </c>
      <c r="B45" s="3">
        <v>46038.0</v>
      </c>
      <c r="C45" s="3">
        <v>46068.0</v>
      </c>
      <c r="D45" s="1" t="s">
        <v>6</v>
      </c>
      <c r="E45" s="1">
        <v>0.0</v>
      </c>
      <c r="F45" s="1">
        <v>300.0</v>
      </c>
    </row>
    <row r="46">
      <c r="A46" s="1" t="s">
        <v>62</v>
      </c>
      <c r="B46" s="3">
        <v>46025.0</v>
      </c>
      <c r="D46" s="1" t="s">
        <v>6</v>
      </c>
      <c r="E46" s="1">
        <v>0.0</v>
      </c>
      <c r="F46" s="1">
        <v>0.0</v>
      </c>
    </row>
    <row r="47">
      <c r="A47" s="1" t="s">
        <v>63</v>
      </c>
      <c r="B47" s="3">
        <v>46112.0</v>
      </c>
      <c r="C47" s="3">
        <v>46133.0</v>
      </c>
      <c r="D47" s="1" t="s">
        <v>6</v>
      </c>
      <c r="E47" s="1">
        <v>2.0</v>
      </c>
      <c r="F47" s="1">
        <v>150.0</v>
      </c>
    </row>
    <row r="48">
      <c r="A48" s="1" t="s">
        <v>64</v>
      </c>
      <c r="B48" s="3">
        <v>46074.0</v>
      </c>
      <c r="C48" s="3">
        <v>46106.0</v>
      </c>
      <c r="D48" s="1" t="s">
        <v>15</v>
      </c>
      <c r="E48" s="1">
        <v>1.0</v>
      </c>
      <c r="F48" s="1">
        <v>150.0</v>
      </c>
    </row>
    <row r="49">
      <c r="A49" s="1" t="s">
        <v>65</v>
      </c>
      <c r="B49" s="3">
        <v>46023.0</v>
      </c>
      <c r="C49" s="3">
        <v>46060.0</v>
      </c>
      <c r="D49" s="1" t="s">
        <v>6</v>
      </c>
      <c r="E49" s="1">
        <v>0.0</v>
      </c>
      <c r="F49" s="1">
        <v>0.0</v>
      </c>
    </row>
    <row r="50">
      <c r="A50" s="1" t="s">
        <v>66</v>
      </c>
      <c r="B50" s="3">
        <v>46053.0</v>
      </c>
      <c r="C50" s="3">
        <v>46083.0</v>
      </c>
      <c r="D50" s="1" t="s">
        <v>6</v>
      </c>
      <c r="E50" s="1">
        <v>1.0</v>
      </c>
      <c r="F50" s="1">
        <v>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4BDBB"/>
    <outlinePr summaryBelow="0" summaryRight="0"/>
  </sheetPr>
  <sheetViews>
    <sheetView workbookViewId="0"/>
  </sheetViews>
  <sheetFormatPr customHeight="1" defaultColWidth="12.63" defaultRowHeight="15.75"/>
  <cols>
    <col customWidth="1" min="1" max="1" width="15.88"/>
    <col customWidth="1" min="2" max="2" width="17.5"/>
    <col customWidth="1" min="3" max="3" width="25.75"/>
    <col customWidth="1" min="4" max="4" width="23.25"/>
    <col customWidth="1" min="5" max="5" width="24.5"/>
    <col customWidth="1" min="6" max="6" width="25.25"/>
    <col customWidth="1" min="7" max="7" width="20.0"/>
    <col customWidth="1" min="8" max="8" width="31.0"/>
    <col customWidth="1" min="9" max="9" width="48.63"/>
    <col customWidth="1" min="10" max="10" width="24.88"/>
  </cols>
  <sheetData>
    <row r="1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7</v>
      </c>
      <c r="G1" s="2" t="s">
        <v>9</v>
      </c>
      <c r="H1" s="2" t="s">
        <v>11</v>
      </c>
      <c r="I1" s="2" t="s">
        <v>12</v>
      </c>
      <c r="J1" s="2" t="s">
        <v>14</v>
      </c>
      <c r="K1" s="4" t="s">
        <v>16</v>
      </c>
      <c r="L1" s="4" t="s">
        <v>16</v>
      </c>
      <c r="M1" s="4" t="s">
        <v>16</v>
      </c>
      <c r="N1" s="4" t="s">
        <v>16</v>
      </c>
      <c r="O1" s="4" t="s">
        <v>16</v>
      </c>
      <c r="P1" s="4" t="s">
        <v>16</v>
      </c>
      <c r="Q1" s="4" t="s">
        <v>16</v>
      </c>
      <c r="R1" s="4" t="s">
        <v>16</v>
      </c>
      <c r="S1" s="4" t="s">
        <v>16</v>
      </c>
      <c r="T1" s="4" t="s">
        <v>16</v>
      </c>
      <c r="U1" s="4" t="s">
        <v>16</v>
      </c>
      <c r="V1" s="4" t="s">
        <v>16</v>
      </c>
      <c r="W1" s="4" t="s">
        <v>16</v>
      </c>
      <c r="X1" s="4" t="s">
        <v>16</v>
      </c>
      <c r="Y1" s="4" t="s">
        <v>16</v>
      </c>
      <c r="Z1" s="4" t="s">
        <v>16</v>
      </c>
    </row>
    <row r="2">
      <c r="A2" s="5" t="s">
        <v>8</v>
      </c>
      <c r="B2" s="6">
        <v>46105.0</v>
      </c>
      <c r="C2" s="6">
        <v>46155.0</v>
      </c>
      <c r="D2" s="5" t="s">
        <v>6</v>
      </c>
      <c r="E2" s="5">
        <v>0.0</v>
      </c>
      <c r="F2" s="5">
        <v>420.0</v>
      </c>
      <c r="G2" s="7">
        <f t="shared" ref="G2:G4" si="1">C2-B2</f>
        <v>50</v>
      </c>
      <c r="H2" s="7" t="str">
        <f t="shared" ref="H2:H50" si="2">IF(G2&gt;30, "ALERTA: Retraso Injustificado", "Tramitado a Tiempo")</f>
        <v>ALERTA: Retraso Injustificado</v>
      </c>
      <c r="I2" s="5">
        <v>5.0</v>
      </c>
      <c r="J2" s="5" t="s">
        <v>40</v>
      </c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5" t="s">
        <v>10</v>
      </c>
      <c r="B3" s="6">
        <v>46046.0</v>
      </c>
      <c r="C3" s="6">
        <v>46104.0</v>
      </c>
      <c r="D3" s="5" t="s">
        <v>6</v>
      </c>
      <c r="E3" s="5">
        <v>0.0</v>
      </c>
      <c r="F3" s="5">
        <v>600.0</v>
      </c>
      <c r="G3" s="7">
        <f t="shared" si="1"/>
        <v>58</v>
      </c>
      <c r="H3" s="7" t="str">
        <f t="shared" si="2"/>
        <v>ALERTA: Retraso Injustificado</v>
      </c>
      <c r="I3" s="5">
        <v>6.0</v>
      </c>
      <c r="J3" s="5" t="s">
        <v>47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5" t="s">
        <v>13</v>
      </c>
      <c r="B4" s="6">
        <v>46052.0</v>
      </c>
      <c r="C4" s="6">
        <v>46099.0</v>
      </c>
      <c r="D4" s="5" t="s">
        <v>15</v>
      </c>
      <c r="E4" s="5">
        <v>0.0</v>
      </c>
      <c r="F4" s="5">
        <v>600.0</v>
      </c>
      <c r="G4" s="7">
        <f t="shared" si="1"/>
        <v>47</v>
      </c>
      <c r="H4" s="7" t="str">
        <f t="shared" si="2"/>
        <v>ALERTA: Retraso Injustificado</v>
      </c>
      <c r="I4" s="5">
        <v>4.0</v>
      </c>
      <c r="J4" s="5" t="s">
        <v>52</v>
      </c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5" t="s">
        <v>17</v>
      </c>
      <c r="B5" s="6">
        <v>46098.0</v>
      </c>
      <c r="C5" s="7"/>
      <c r="D5" s="5" t="s">
        <v>6</v>
      </c>
      <c r="E5" s="5">
        <v>1.0</v>
      </c>
      <c r="F5" s="5">
        <v>150.0</v>
      </c>
      <c r="G5" s="5" t="s">
        <v>56</v>
      </c>
      <c r="H5" s="7" t="str">
        <f t="shared" si="2"/>
        <v>ALERTA: Retraso Injustificado</v>
      </c>
      <c r="I5" s="5">
        <v>7.0</v>
      </c>
      <c r="J5" s="5" t="s">
        <v>40</v>
      </c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5" t="s">
        <v>18</v>
      </c>
      <c r="B6" s="6">
        <v>46071.0</v>
      </c>
      <c r="C6" s="6">
        <v>46113.0</v>
      </c>
      <c r="D6" s="5" t="s">
        <v>6</v>
      </c>
      <c r="E6" s="5">
        <v>1.0</v>
      </c>
      <c r="F6" s="5">
        <v>0.0</v>
      </c>
      <c r="G6" s="7">
        <f t="shared" ref="G6:G8" si="3">C6-B6</f>
        <v>42</v>
      </c>
      <c r="H6" s="7" t="str">
        <f t="shared" si="2"/>
        <v>ALERTA: Retraso Injustificado</v>
      </c>
      <c r="I6" s="5">
        <v>8.0</v>
      </c>
      <c r="J6" s="5" t="s">
        <v>47</v>
      </c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5" t="s">
        <v>19</v>
      </c>
      <c r="B7" s="6">
        <v>46082.0</v>
      </c>
      <c r="C7" s="6">
        <v>46147.0</v>
      </c>
      <c r="D7" s="5" t="s">
        <v>6</v>
      </c>
      <c r="E7" s="5">
        <v>0.0</v>
      </c>
      <c r="F7" s="5">
        <v>0.0</v>
      </c>
      <c r="G7" s="7">
        <f t="shared" si="3"/>
        <v>65</v>
      </c>
      <c r="H7" s="7" t="str">
        <f t="shared" si="2"/>
        <v>ALERTA: Retraso Injustificado</v>
      </c>
      <c r="I7" s="5">
        <v>5.0</v>
      </c>
      <c r="J7" s="5" t="s">
        <v>40</v>
      </c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5" t="s">
        <v>20</v>
      </c>
      <c r="B8" s="6">
        <v>46077.0</v>
      </c>
      <c r="C8" s="6">
        <v>46142.0</v>
      </c>
      <c r="D8" s="5" t="s">
        <v>15</v>
      </c>
      <c r="E8" s="5">
        <v>1.0</v>
      </c>
      <c r="F8" s="5">
        <v>0.0</v>
      </c>
      <c r="G8" s="7">
        <f t="shared" si="3"/>
        <v>65</v>
      </c>
      <c r="H8" s="7" t="str">
        <f t="shared" si="2"/>
        <v>ALERTA: Retraso Injustificado</v>
      </c>
      <c r="I8" s="5">
        <v>4.0</v>
      </c>
      <c r="J8" s="5" t="s">
        <v>52</v>
      </c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5" t="s">
        <v>21</v>
      </c>
      <c r="B9" s="6">
        <v>46029.0</v>
      </c>
      <c r="C9" s="6">
        <v>46024.0</v>
      </c>
      <c r="D9" s="5" t="s">
        <v>6</v>
      </c>
      <c r="E9" s="5">
        <v>1.0</v>
      </c>
      <c r="F9" s="5">
        <v>0.0</v>
      </c>
      <c r="G9" s="5" t="s">
        <v>67</v>
      </c>
      <c r="H9" s="7" t="str">
        <f t="shared" si="2"/>
        <v>ALERTA: Retraso Injustificado</v>
      </c>
      <c r="I9" s="5">
        <v>6.0</v>
      </c>
      <c r="J9" s="5" t="s">
        <v>47</v>
      </c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5" t="s">
        <v>22</v>
      </c>
      <c r="B10" s="6">
        <v>46111.0</v>
      </c>
      <c r="C10" s="6">
        <v>46151.0</v>
      </c>
      <c r="D10" s="5" t="s">
        <v>6</v>
      </c>
      <c r="E10" s="5">
        <v>1.0</v>
      </c>
      <c r="F10" s="5">
        <v>150.0</v>
      </c>
      <c r="G10" s="7">
        <f t="shared" ref="G10:G12" si="4">C10-B10</f>
        <v>40</v>
      </c>
      <c r="H10" s="7" t="str">
        <f t="shared" si="2"/>
        <v>ALERTA: Retraso Injustificado</v>
      </c>
      <c r="I10" s="5">
        <v>3.0</v>
      </c>
      <c r="J10" s="5" t="s">
        <v>40</v>
      </c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5" t="s">
        <v>23</v>
      </c>
      <c r="B11" s="6">
        <v>46075.0</v>
      </c>
      <c r="C11" s="6">
        <v>46096.0</v>
      </c>
      <c r="D11" s="5" t="s">
        <v>6</v>
      </c>
      <c r="E11" s="5">
        <v>1.0</v>
      </c>
      <c r="F11" s="5">
        <v>150.0</v>
      </c>
      <c r="G11" s="7">
        <f t="shared" si="4"/>
        <v>21</v>
      </c>
      <c r="H11" s="7" t="str">
        <f t="shared" si="2"/>
        <v>Tramitado a Tiempo</v>
      </c>
      <c r="I11" s="5">
        <v>5.0</v>
      </c>
      <c r="J11" s="5" t="s">
        <v>52</v>
      </c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5" t="s">
        <v>24</v>
      </c>
      <c r="B12" s="6">
        <v>46066.0</v>
      </c>
      <c r="C12" s="6">
        <v>46097.0</v>
      </c>
      <c r="D12" s="5" t="s">
        <v>15</v>
      </c>
      <c r="E12" s="5">
        <v>2.0</v>
      </c>
      <c r="F12" s="5">
        <v>0.0</v>
      </c>
      <c r="G12" s="7">
        <f t="shared" si="4"/>
        <v>31</v>
      </c>
      <c r="H12" s="7" t="str">
        <f t="shared" si="2"/>
        <v>ALERTA: Retraso Injustificado</v>
      </c>
      <c r="I12" s="5">
        <v>5.0</v>
      </c>
      <c r="J12" s="5" t="s">
        <v>40</v>
      </c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5" t="s">
        <v>25</v>
      </c>
      <c r="B13" s="6">
        <v>46058.0</v>
      </c>
      <c r="C13" s="7"/>
      <c r="D13" s="5" t="s">
        <v>6</v>
      </c>
      <c r="E13" s="5">
        <v>1.0</v>
      </c>
      <c r="F13" s="5">
        <v>150.0</v>
      </c>
      <c r="G13" s="5" t="s">
        <v>56</v>
      </c>
      <c r="H13" s="7" t="str">
        <f t="shared" si="2"/>
        <v>ALERTA: Retraso Injustificado</v>
      </c>
      <c r="I13" s="5">
        <v>6.0</v>
      </c>
      <c r="J13" s="5" t="s">
        <v>47</v>
      </c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5" t="s">
        <v>26</v>
      </c>
      <c r="B14" s="6">
        <v>46028.0</v>
      </c>
      <c r="C14" s="6">
        <v>46060.0</v>
      </c>
      <c r="D14" s="5" t="s">
        <v>6</v>
      </c>
      <c r="E14" s="5">
        <v>1.0</v>
      </c>
      <c r="F14" s="5">
        <v>0.0</v>
      </c>
      <c r="G14" s="7">
        <f t="shared" ref="G14:G50" si="5">C14-B14</f>
        <v>32</v>
      </c>
      <c r="H14" s="7" t="str">
        <f t="shared" si="2"/>
        <v>ALERTA: Retraso Injustificado</v>
      </c>
      <c r="I14" s="5">
        <v>7.0</v>
      </c>
      <c r="J14" s="5" t="s">
        <v>52</v>
      </c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5" t="s">
        <v>27</v>
      </c>
      <c r="B15" s="6">
        <v>46112.0</v>
      </c>
      <c r="C15" s="6">
        <v>46140.0</v>
      </c>
      <c r="D15" s="5" t="s">
        <v>6</v>
      </c>
      <c r="E15" s="5">
        <v>3.0</v>
      </c>
      <c r="F15" s="5">
        <v>420.0</v>
      </c>
      <c r="G15" s="7">
        <f t="shared" si="5"/>
        <v>28</v>
      </c>
      <c r="H15" s="7" t="str">
        <f t="shared" si="2"/>
        <v>Tramitado a Tiempo</v>
      </c>
      <c r="I15" s="5">
        <v>4.0</v>
      </c>
      <c r="J15" s="5" t="s">
        <v>40</v>
      </c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5" t="s">
        <v>28</v>
      </c>
      <c r="B16" s="6">
        <v>46070.0</v>
      </c>
      <c r="C16" s="6">
        <v>46141.0</v>
      </c>
      <c r="D16" s="5" t="s">
        <v>15</v>
      </c>
      <c r="E16" s="5">
        <v>0.0</v>
      </c>
      <c r="F16" s="5">
        <v>0.0</v>
      </c>
      <c r="G16" s="7">
        <f t="shared" si="5"/>
        <v>71</v>
      </c>
      <c r="H16" s="7" t="str">
        <f t="shared" si="2"/>
        <v>ALERTA: Retraso Injustificado</v>
      </c>
      <c r="I16" s="5">
        <v>8.0</v>
      </c>
      <c r="J16" s="5" t="s">
        <v>47</v>
      </c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5" t="s">
        <v>29</v>
      </c>
      <c r="B17" s="6">
        <v>46084.0</v>
      </c>
      <c r="C17" s="6">
        <v>46145.0</v>
      </c>
      <c r="D17" s="5" t="s">
        <v>6</v>
      </c>
      <c r="E17" s="5">
        <v>2.0</v>
      </c>
      <c r="F17" s="5">
        <v>420.0</v>
      </c>
      <c r="G17" s="7">
        <f t="shared" si="5"/>
        <v>61</v>
      </c>
      <c r="H17" s="7" t="str">
        <f t="shared" si="2"/>
        <v>ALERTA: Retraso Injustificado</v>
      </c>
      <c r="I17" s="5">
        <v>5.0</v>
      </c>
      <c r="J17" s="5" t="s">
        <v>40</v>
      </c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5" t="s">
        <v>30</v>
      </c>
      <c r="B18" s="6">
        <v>46075.0</v>
      </c>
      <c r="C18" s="6">
        <v>46149.0</v>
      </c>
      <c r="D18" s="5" t="s">
        <v>6</v>
      </c>
      <c r="E18" s="5">
        <v>0.0</v>
      </c>
      <c r="F18" s="5">
        <v>0.0</v>
      </c>
      <c r="G18" s="7">
        <f t="shared" si="5"/>
        <v>74</v>
      </c>
      <c r="H18" s="7" t="str">
        <f t="shared" si="2"/>
        <v>ALERTA: Retraso Injustificado</v>
      </c>
      <c r="I18" s="5">
        <v>6.0</v>
      </c>
      <c r="J18" s="5" t="s">
        <v>52</v>
      </c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5" t="s">
        <v>31</v>
      </c>
      <c r="B19" s="6">
        <v>46063.0</v>
      </c>
      <c r="C19" s="6">
        <v>46084.0</v>
      </c>
      <c r="D19" s="5" t="s">
        <v>6</v>
      </c>
      <c r="E19" s="5">
        <v>2.0</v>
      </c>
      <c r="F19" s="5">
        <v>0.0</v>
      </c>
      <c r="G19" s="7">
        <f t="shared" si="5"/>
        <v>21</v>
      </c>
      <c r="H19" s="7" t="str">
        <f t="shared" si="2"/>
        <v>Tramitado a Tiempo</v>
      </c>
      <c r="I19" s="5">
        <v>4.0</v>
      </c>
      <c r="J19" s="5" t="s">
        <v>47</v>
      </c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5" t="s">
        <v>32</v>
      </c>
      <c r="B20" s="6">
        <v>46031.0</v>
      </c>
      <c r="C20" s="6">
        <v>46056.0</v>
      </c>
      <c r="D20" s="5" t="s">
        <v>15</v>
      </c>
      <c r="E20" s="5">
        <v>0.0</v>
      </c>
      <c r="F20" s="5">
        <v>0.0</v>
      </c>
      <c r="G20" s="7">
        <f t="shared" si="5"/>
        <v>25</v>
      </c>
      <c r="H20" s="7" t="str">
        <f t="shared" si="2"/>
        <v>Tramitado a Tiempo</v>
      </c>
      <c r="I20" s="5">
        <v>5.0</v>
      </c>
      <c r="J20" s="5" t="s">
        <v>40</v>
      </c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5" t="s">
        <v>33</v>
      </c>
      <c r="B21" s="6">
        <v>46103.0</v>
      </c>
      <c r="C21" s="6">
        <v>46122.0</v>
      </c>
      <c r="D21" s="5" t="s">
        <v>6</v>
      </c>
      <c r="E21" s="5">
        <v>2.0</v>
      </c>
      <c r="F21" s="5">
        <v>420.0</v>
      </c>
      <c r="G21" s="7">
        <f t="shared" si="5"/>
        <v>19</v>
      </c>
      <c r="H21" s="7" t="str">
        <f t="shared" si="2"/>
        <v>Tramitado a Tiempo</v>
      </c>
      <c r="I21" s="5">
        <v>6.0</v>
      </c>
      <c r="J21" s="5" t="s">
        <v>52</v>
      </c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5" t="s">
        <v>34</v>
      </c>
      <c r="B22" s="6">
        <v>46063.0</v>
      </c>
      <c r="C22" s="6">
        <v>46111.0</v>
      </c>
      <c r="D22" s="5" t="s">
        <v>6</v>
      </c>
      <c r="E22" s="5">
        <v>2.0</v>
      </c>
      <c r="F22" s="5">
        <v>300.0</v>
      </c>
      <c r="G22" s="7">
        <f t="shared" si="5"/>
        <v>48</v>
      </c>
      <c r="H22" s="7" t="str">
        <f t="shared" si="2"/>
        <v>ALERTA: Retraso Injustificado</v>
      </c>
      <c r="I22" s="5">
        <v>5.0</v>
      </c>
      <c r="J22" s="5" t="s">
        <v>40</v>
      </c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5" t="s">
        <v>35</v>
      </c>
      <c r="B23" s="6">
        <v>46055.0</v>
      </c>
      <c r="C23" s="9">
        <v>46157.0</v>
      </c>
      <c r="D23" s="5" t="s">
        <v>6</v>
      </c>
      <c r="E23" s="5">
        <v>0.0</v>
      </c>
      <c r="F23" s="5">
        <v>300.0</v>
      </c>
      <c r="G23" s="7">
        <f t="shared" si="5"/>
        <v>102</v>
      </c>
      <c r="H23" s="7" t="str">
        <f t="shared" si="2"/>
        <v>ALERTA: Retraso Injustificado</v>
      </c>
      <c r="I23" s="5">
        <v>6.0</v>
      </c>
      <c r="J23" s="5" t="s">
        <v>47</v>
      </c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5" t="s">
        <v>36</v>
      </c>
      <c r="B24" s="6">
        <v>46059.0</v>
      </c>
      <c r="C24" s="6">
        <v>46108.0</v>
      </c>
      <c r="D24" s="5" t="s">
        <v>15</v>
      </c>
      <c r="E24" s="5">
        <v>1.0</v>
      </c>
      <c r="F24" s="5">
        <v>0.0</v>
      </c>
      <c r="G24" s="7">
        <f t="shared" si="5"/>
        <v>49</v>
      </c>
      <c r="H24" s="7" t="str">
        <f t="shared" si="2"/>
        <v>ALERTA: Retraso Injustificado</v>
      </c>
      <c r="I24" s="5">
        <v>4.0</v>
      </c>
      <c r="J24" s="5" t="s">
        <v>52</v>
      </c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5" t="s">
        <v>37</v>
      </c>
      <c r="B25" s="6">
        <v>46087.0</v>
      </c>
      <c r="C25" s="6">
        <v>46102.0</v>
      </c>
      <c r="D25" s="5" t="s">
        <v>6</v>
      </c>
      <c r="E25" s="5">
        <v>0.0</v>
      </c>
      <c r="F25" s="5">
        <v>420.0</v>
      </c>
      <c r="G25" s="7">
        <f t="shared" si="5"/>
        <v>15</v>
      </c>
      <c r="H25" s="7" t="str">
        <f t="shared" si="2"/>
        <v>Tramitado a Tiempo</v>
      </c>
      <c r="I25" s="5">
        <v>7.0</v>
      </c>
      <c r="J25" s="5" t="s">
        <v>40</v>
      </c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5" t="s">
        <v>38</v>
      </c>
      <c r="B26" s="6">
        <v>46027.0</v>
      </c>
      <c r="C26" s="6">
        <v>46068.0</v>
      </c>
      <c r="D26" s="5" t="s">
        <v>6</v>
      </c>
      <c r="E26" s="5">
        <v>0.0</v>
      </c>
      <c r="F26" s="5">
        <v>0.0</v>
      </c>
      <c r="G26" s="7">
        <f t="shared" si="5"/>
        <v>41</v>
      </c>
      <c r="H26" s="7" t="str">
        <f t="shared" si="2"/>
        <v>ALERTA: Retraso Injustificado</v>
      </c>
      <c r="I26" s="5">
        <v>5.0</v>
      </c>
      <c r="J26" s="5" t="s">
        <v>47</v>
      </c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5" t="s">
        <v>39</v>
      </c>
      <c r="B27" s="6">
        <v>46031.0</v>
      </c>
      <c r="C27" s="6">
        <v>46058.0</v>
      </c>
      <c r="D27" s="5" t="s">
        <v>6</v>
      </c>
      <c r="E27" s="5">
        <v>1.0</v>
      </c>
      <c r="F27" s="5">
        <v>0.0</v>
      </c>
      <c r="G27" s="7">
        <f t="shared" si="5"/>
        <v>27</v>
      </c>
      <c r="H27" s="7" t="str">
        <f t="shared" si="2"/>
        <v>Tramitado a Tiempo</v>
      </c>
      <c r="I27" s="5">
        <v>4.0</v>
      </c>
      <c r="J27" s="5" t="s">
        <v>40</v>
      </c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5" t="s">
        <v>41</v>
      </c>
      <c r="B28" s="6">
        <v>46073.0</v>
      </c>
      <c r="C28" s="6">
        <v>46119.0</v>
      </c>
      <c r="D28" s="5" t="s">
        <v>15</v>
      </c>
      <c r="E28" s="5">
        <v>2.0</v>
      </c>
      <c r="F28" s="5">
        <v>150.0</v>
      </c>
      <c r="G28" s="7">
        <f t="shared" si="5"/>
        <v>46</v>
      </c>
      <c r="H28" s="7" t="str">
        <f t="shared" si="2"/>
        <v>ALERTA: Retraso Injustificado</v>
      </c>
      <c r="I28" s="5">
        <v>5.0</v>
      </c>
      <c r="J28" s="5" t="s">
        <v>52</v>
      </c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5" t="s">
        <v>42</v>
      </c>
      <c r="B29" s="6">
        <v>46026.0</v>
      </c>
      <c r="C29" s="7"/>
      <c r="D29" s="5" t="s">
        <v>6</v>
      </c>
      <c r="E29" s="5">
        <v>0.0</v>
      </c>
      <c r="F29" s="5">
        <v>300.0</v>
      </c>
      <c r="G29" s="10">
        <f t="shared" si="5"/>
        <v>-46026</v>
      </c>
      <c r="H29" s="7" t="str">
        <f t="shared" si="2"/>
        <v>Tramitado a Tiempo</v>
      </c>
      <c r="I29" s="5">
        <v>6.0</v>
      </c>
      <c r="J29" s="5" t="s">
        <v>47</v>
      </c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5" t="s">
        <v>43</v>
      </c>
      <c r="B30" s="6">
        <v>46037.0</v>
      </c>
      <c r="C30" s="6">
        <v>46058.0</v>
      </c>
      <c r="D30" s="5" t="s">
        <v>6</v>
      </c>
      <c r="E30" s="5">
        <v>0.0</v>
      </c>
      <c r="F30" s="5">
        <v>600.0</v>
      </c>
      <c r="G30" s="7">
        <f t="shared" si="5"/>
        <v>21</v>
      </c>
      <c r="H30" s="7" t="str">
        <f t="shared" si="2"/>
        <v>Tramitado a Tiempo</v>
      </c>
      <c r="I30" s="5">
        <v>6.0</v>
      </c>
      <c r="J30" s="5" t="s">
        <v>40</v>
      </c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5" t="s">
        <v>44</v>
      </c>
      <c r="B31" s="6">
        <v>46081.0</v>
      </c>
      <c r="C31" s="6">
        <v>46140.0</v>
      </c>
      <c r="D31" s="5" t="s">
        <v>6</v>
      </c>
      <c r="E31" s="5">
        <v>0.0</v>
      </c>
      <c r="F31" s="5">
        <v>600.0</v>
      </c>
      <c r="G31" s="7">
        <f t="shared" si="5"/>
        <v>59</v>
      </c>
      <c r="H31" s="7" t="str">
        <f t="shared" si="2"/>
        <v>ALERTA: Retraso Injustificado</v>
      </c>
      <c r="I31" s="5">
        <v>4.0</v>
      </c>
      <c r="J31" s="5" t="s">
        <v>52</v>
      </c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5" t="s">
        <v>45</v>
      </c>
      <c r="B32" s="6">
        <v>46084.0</v>
      </c>
      <c r="C32" s="6">
        <v>46142.0</v>
      </c>
      <c r="D32" s="5" t="s">
        <v>15</v>
      </c>
      <c r="E32" s="5">
        <v>0.0</v>
      </c>
      <c r="F32" s="5">
        <v>150.0</v>
      </c>
      <c r="G32" s="7">
        <f t="shared" si="5"/>
        <v>58</v>
      </c>
      <c r="H32" s="7" t="str">
        <f t="shared" si="2"/>
        <v>ALERTA: Retraso Injustificado</v>
      </c>
      <c r="I32" s="5">
        <v>5.0</v>
      </c>
      <c r="J32" s="5" t="s">
        <v>40</v>
      </c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5" t="s">
        <v>46</v>
      </c>
      <c r="B33" s="6">
        <v>46066.0</v>
      </c>
      <c r="C33" s="6">
        <v>46138.0</v>
      </c>
      <c r="D33" s="5" t="s">
        <v>6</v>
      </c>
      <c r="E33" s="5">
        <v>2.0</v>
      </c>
      <c r="F33" s="5">
        <v>300.0</v>
      </c>
      <c r="G33" s="7">
        <f t="shared" si="5"/>
        <v>72</v>
      </c>
      <c r="H33" s="7" t="str">
        <f t="shared" si="2"/>
        <v>ALERTA: Retraso Injustificado</v>
      </c>
      <c r="I33" s="5">
        <v>6.0</v>
      </c>
      <c r="J33" s="5" t="s">
        <v>47</v>
      </c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5" t="s">
        <v>48</v>
      </c>
      <c r="B34" s="6">
        <v>46111.0</v>
      </c>
      <c r="C34" s="6">
        <v>46152.0</v>
      </c>
      <c r="D34" s="5" t="s">
        <v>6</v>
      </c>
      <c r="E34" s="5">
        <v>3.0</v>
      </c>
      <c r="F34" s="5">
        <v>0.0</v>
      </c>
      <c r="G34" s="7">
        <f t="shared" si="5"/>
        <v>41</v>
      </c>
      <c r="H34" s="7" t="str">
        <f t="shared" si="2"/>
        <v>ALERTA: Retraso Injustificado</v>
      </c>
      <c r="I34" s="5">
        <v>7.0</v>
      </c>
      <c r="J34" s="5" t="s">
        <v>52</v>
      </c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5" t="s">
        <v>49</v>
      </c>
      <c r="B35" s="6">
        <v>46084.0</v>
      </c>
      <c r="C35" s="6">
        <v>46137.0</v>
      </c>
      <c r="D35" s="5" t="s">
        <v>6</v>
      </c>
      <c r="E35" s="5">
        <v>2.0</v>
      </c>
      <c r="F35" s="5">
        <v>420.0</v>
      </c>
      <c r="G35" s="7">
        <f t="shared" si="5"/>
        <v>53</v>
      </c>
      <c r="H35" s="7" t="str">
        <f t="shared" si="2"/>
        <v>ALERTA: Retraso Injustificado</v>
      </c>
      <c r="I35" s="5">
        <v>8.0</v>
      </c>
      <c r="J35" s="5" t="s">
        <v>40</v>
      </c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5" t="s">
        <v>50</v>
      </c>
      <c r="B36" s="6">
        <v>46092.0</v>
      </c>
      <c r="C36" s="6">
        <v>46139.0</v>
      </c>
      <c r="D36" s="5" t="s">
        <v>15</v>
      </c>
      <c r="E36" s="5">
        <v>1.0</v>
      </c>
      <c r="F36" s="5">
        <v>150.0</v>
      </c>
      <c r="G36" s="7">
        <f t="shared" si="5"/>
        <v>47</v>
      </c>
      <c r="H36" s="7" t="str">
        <f t="shared" si="2"/>
        <v>ALERTA: Retraso Injustificado</v>
      </c>
      <c r="I36" s="5">
        <v>6.0</v>
      </c>
      <c r="J36" s="5" t="s">
        <v>47</v>
      </c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5" t="s">
        <v>51</v>
      </c>
      <c r="B37" s="6">
        <v>46073.0</v>
      </c>
      <c r="C37" s="6">
        <v>46141.0</v>
      </c>
      <c r="D37" s="5" t="s">
        <v>6</v>
      </c>
      <c r="E37" s="5">
        <v>0.0</v>
      </c>
      <c r="F37" s="5">
        <v>600.0</v>
      </c>
      <c r="G37" s="7">
        <f t="shared" si="5"/>
        <v>68</v>
      </c>
      <c r="H37" s="7" t="str">
        <f t="shared" si="2"/>
        <v>ALERTA: Retraso Injustificado</v>
      </c>
      <c r="I37" s="5">
        <v>5.0</v>
      </c>
      <c r="J37" s="5" t="s">
        <v>40</v>
      </c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5" t="s">
        <v>53</v>
      </c>
      <c r="B38" s="6">
        <v>46054.0</v>
      </c>
      <c r="C38" s="6">
        <v>46117.0</v>
      </c>
      <c r="D38" s="5" t="s">
        <v>6</v>
      </c>
      <c r="E38" s="5">
        <v>1.0</v>
      </c>
      <c r="F38" s="5">
        <v>150.0</v>
      </c>
      <c r="G38" s="7">
        <f t="shared" si="5"/>
        <v>63</v>
      </c>
      <c r="H38" s="7" t="str">
        <f t="shared" si="2"/>
        <v>ALERTA: Retraso Injustificado</v>
      </c>
      <c r="I38" s="5">
        <v>4.0</v>
      </c>
      <c r="J38" s="5" t="s">
        <v>52</v>
      </c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5" t="s">
        <v>54</v>
      </c>
      <c r="B39" s="6">
        <v>46080.0</v>
      </c>
      <c r="C39" s="6">
        <v>46097.0</v>
      </c>
      <c r="D39" s="5" t="s">
        <v>6</v>
      </c>
      <c r="E39" s="5">
        <v>0.0</v>
      </c>
      <c r="F39" s="5">
        <v>300.0</v>
      </c>
      <c r="G39" s="7">
        <f t="shared" si="5"/>
        <v>17</v>
      </c>
      <c r="H39" s="7" t="str">
        <f t="shared" si="2"/>
        <v>Tramitado a Tiempo</v>
      </c>
      <c r="I39" s="5">
        <v>5.0</v>
      </c>
      <c r="J39" s="5" t="s">
        <v>47</v>
      </c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5" t="s">
        <v>55</v>
      </c>
      <c r="B40" s="6">
        <v>46078.0</v>
      </c>
      <c r="C40" s="6">
        <v>46120.0</v>
      </c>
      <c r="D40" s="5" t="s">
        <v>15</v>
      </c>
      <c r="E40" s="5">
        <v>0.0</v>
      </c>
      <c r="F40" s="5">
        <v>600.0</v>
      </c>
      <c r="G40" s="7">
        <f t="shared" si="5"/>
        <v>42</v>
      </c>
      <c r="H40" s="7" t="str">
        <f t="shared" si="2"/>
        <v>ALERTA: Retraso Injustificado</v>
      </c>
      <c r="I40" s="5">
        <v>6.0</v>
      </c>
      <c r="J40" s="5" t="s">
        <v>40</v>
      </c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5" t="s">
        <v>57</v>
      </c>
      <c r="B41" s="6">
        <v>46076.0</v>
      </c>
      <c r="C41" s="6">
        <v>46109.0</v>
      </c>
      <c r="D41" s="5" t="s">
        <v>6</v>
      </c>
      <c r="E41" s="5">
        <v>0.0</v>
      </c>
      <c r="F41" s="5">
        <v>600.0</v>
      </c>
      <c r="G41" s="7">
        <f t="shared" si="5"/>
        <v>33</v>
      </c>
      <c r="H41" s="7" t="str">
        <f t="shared" si="2"/>
        <v>ALERTA: Retraso Injustificado</v>
      </c>
      <c r="I41" s="5">
        <v>5.0</v>
      </c>
      <c r="J41" s="5" t="s">
        <v>52</v>
      </c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5" t="s">
        <v>58</v>
      </c>
      <c r="B42" s="6">
        <v>46024.0</v>
      </c>
      <c r="C42" s="6">
        <v>46070.0</v>
      </c>
      <c r="D42" s="5" t="s">
        <v>6</v>
      </c>
      <c r="E42" s="5">
        <v>1.0</v>
      </c>
      <c r="F42" s="5">
        <v>600.0</v>
      </c>
      <c r="G42" s="7">
        <f t="shared" si="5"/>
        <v>46</v>
      </c>
      <c r="H42" s="7" t="str">
        <f t="shared" si="2"/>
        <v>ALERTA: Retraso Injustificado</v>
      </c>
      <c r="I42" s="5">
        <v>5.0</v>
      </c>
      <c r="J42" s="5" t="s">
        <v>40</v>
      </c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5" t="s">
        <v>59</v>
      </c>
      <c r="B43" s="6">
        <v>46090.0</v>
      </c>
      <c r="C43" s="6">
        <v>46142.0</v>
      </c>
      <c r="D43" s="5" t="s">
        <v>6</v>
      </c>
      <c r="E43" s="5">
        <v>2.0</v>
      </c>
      <c r="F43" s="5">
        <v>0.0</v>
      </c>
      <c r="G43" s="7">
        <f t="shared" si="5"/>
        <v>52</v>
      </c>
      <c r="H43" s="7" t="str">
        <f t="shared" si="2"/>
        <v>ALERTA: Retraso Injustificado</v>
      </c>
      <c r="I43" s="5">
        <v>4.0</v>
      </c>
      <c r="J43" s="5" t="s">
        <v>47</v>
      </c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5" t="s">
        <v>60</v>
      </c>
      <c r="B44" s="6">
        <v>46046.0</v>
      </c>
      <c r="C44" s="6">
        <v>46071.0</v>
      </c>
      <c r="D44" s="5" t="s">
        <v>15</v>
      </c>
      <c r="E44" s="5">
        <v>1.0</v>
      </c>
      <c r="F44" s="5">
        <v>300.0</v>
      </c>
      <c r="G44" s="7">
        <f t="shared" si="5"/>
        <v>25</v>
      </c>
      <c r="H44" s="7" t="str">
        <f t="shared" si="2"/>
        <v>Tramitado a Tiempo</v>
      </c>
      <c r="I44" s="5">
        <v>6.0</v>
      </c>
      <c r="J44" s="5" t="s">
        <v>52</v>
      </c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5" t="s">
        <v>61</v>
      </c>
      <c r="B45" s="6">
        <v>46038.0</v>
      </c>
      <c r="C45" s="6">
        <v>46068.0</v>
      </c>
      <c r="D45" s="5" t="s">
        <v>6</v>
      </c>
      <c r="E45" s="5">
        <v>0.0</v>
      </c>
      <c r="F45" s="5">
        <v>300.0</v>
      </c>
      <c r="G45" s="7">
        <f t="shared" si="5"/>
        <v>30</v>
      </c>
      <c r="H45" s="7" t="str">
        <f t="shared" si="2"/>
        <v>Tramitado a Tiempo</v>
      </c>
      <c r="I45" s="5">
        <v>5.0</v>
      </c>
      <c r="J45" s="5" t="s">
        <v>40</v>
      </c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5" t="s">
        <v>62</v>
      </c>
      <c r="B46" s="6">
        <v>46025.0</v>
      </c>
      <c r="C46" s="7"/>
      <c r="D46" s="5" t="s">
        <v>6</v>
      </c>
      <c r="E46" s="5">
        <v>0.0</v>
      </c>
      <c r="F46" s="5">
        <v>0.0</v>
      </c>
      <c r="G46" s="10">
        <f t="shared" si="5"/>
        <v>-46025</v>
      </c>
      <c r="H46" s="7" t="str">
        <f t="shared" si="2"/>
        <v>Tramitado a Tiempo</v>
      </c>
      <c r="I46" s="5">
        <v>4.0</v>
      </c>
      <c r="J46" s="5" t="s">
        <v>47</v>
      </c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5" t="s">
        <v>63</v>
      </c>
      <c r="B47" s="6">
        <v>46112.0</v>
      </c>
      <c r="C47" s="6">
        <v>46133.0</v>
      </c>
      <c r="D47" s="5" t="s">
        <v>6</v>
      </c>
      <c r="E47" s="5">
        <v>2.0</v>
      </c>
      <c r="F47" s="5">
        <v>150.0</v>
      </c>
      <c r="G47" s="7">
        <f t="shared" si="5"/>
        <v>21</v>
      </c>
      <c r="H47" s="7" t="str">
        <f t="shared" si="2"/>
        <v>Tramitado a Tiempo</v>
      </c>
      <c r="I47" s="5">
        <v>3.0</v>
      </c>
      <c r="J47" s="5" t="s">
        <v>40</v>
      </c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5" t="s">
        <v>64</v>
      </c>
      <c r="B48" s="6">
        <v>46074.0</v>
      </c>
      <c r="C48" s="6">
        <v>46106.0</v>
      </c>
      <c r="D48" s="5" t="s">
        <v>15</v>
      </c>
      <c r="E48" s="5">
        <v>1.0</v>
      </c>
      <c r="F48" s="5">
        <v>150.0</v>
      </c>
      <c r="G48" s="7">
        <f t="shared" si="5"/>
        <v>32</v>
      </c>
      <c r="H48" s="7" t="str">
        <f t="shared" si="2"/>
        <v>ALERTA: Retraso Injustificado</v>
      </c>
      <c r="I48" s="5">
        <v>5.0</v>
      </c>
      <c r="J48" s="5" t="s">
        <v>52</v>
      </c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5" t="s">
        <v>65</v>
      </c>
      <c r="B49" s="6">
        <v>46023.0</v>
      </c>
      <c r="C49" s="6">
        <v>46060.0</v>
      </c>
      <c r="D49" s="5" t="s">
        <v>6</v>
      </c>
      <c r="E49" s="5">
        <v>0.0</v>
      </c>
      <c r="F49" s="5">
        <v>0.0</v>
      </c>
      <c r="G49" s="7">
        <f t="shared" si="5"/>
        <v>37</v>
      </c>
      <c r="H49" s="7" t="str">
        <f t="shared" si="2"/>
        <v>ALERTA: Retraso Injustificado</v>
      </c>
      <c r="I49" s="5">
        <v>6.0</v>
      </c>
      <c r="J49" s="5" t="s">
        <v>47</v>
      </c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5" t="s">
        <v>66</v>
      </c>
      <c r="B50" s="6">
        <v>46053.0</v>
      </c>
      <c r="C50" s="6">
        <v>46083.0</v>
      </c>
      <c r="D50" s="5" t="s">
        <v>6</v>
      </c>
      <c r="E50" s="5">
        <v>1.0</v>
      </c>
      <c r="F50" s="5">
        <v>0.0</v>
      </c>
      <c r="G50" s="7">
        <f t="shared" si="5"/>
        <v>30</v>
      </c>
      <c r="H50" s="7" t="str">
        <f t="shared" si="2"/>
        <v>Tramitado a Tiempo</v>
      </c>
      <c r="I50" s="5">
        <v>4.0</v>
      </c>
      <c r="J50" s="5" t="s">
        <v>40</v>
      </c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7"/>
      <c r="B51" s="7"/>
      <c r="C51" s="7"/>
      <c r="D51" s="7"/>
      <c r="E51" s="7"/>
      <c r="F51" s="7"/>
      <c r="G51" s="7"/>
      <c r="H51" s="7"/>
      <c r="I51" s="5">
        <v>5.0</v>
      </c>
      <c r="J51" s="5" t="s">
        <v>52</v>
      </c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7"/>
      <c r="B52" s="7"/>
      <c r="C52" s="7"/>
      <c r="D52" s="7"/>
      <c r="E52" s="7"/>
      <c r="F52" s="7"/>
      <c r="G52" s="7"/>
      <c r="H52" s="7"/>
      <c r="I52" s="5"/>
      <c r="J52" s="5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7"/>
      <c r="B53" s="7"/>
      <c r="C53" s="7"/>
      <c r="D53" s="7"/>
      <c r="E53" s="7"/>
      <c r="F53" s="7"/>
      <c r="G53" s="7"/>
      <c r="H53" s="7"/>
      <c r="I53" s="5"/>
      <c r="J53" s="5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7"/>
      <c r="B54" s="7"/>
      <c r="C54" s="7"/>
      <c r="D54" s="7"/>
      <c r="E54" s="7"/>
      <c r="F54" s="7"/>
      <c r="G54" s="7"/>
      <c r="H54" s="7"/>
      <c r="I54" s="5"/>
      <c r="J54" s="5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7"/>
      <c r="B55" s="7"/>
      <c r="C55" s="7"/>
      <c r="D55" s="7"/>
      <c r="E55" s="7"/>
      <c r="F55" s="7"/>
      <c r="G55" s="7"/>
      <c r="H55" s="7"/>
      <c r="I55" s="5"/>
      <c r="J55" s="5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7"/>
      <c r="B56" s="7"/>
      <c r="C56" s="7"/>
      <c r="D56" s="7"/>
      <c r="E56" s="7"/>
      <c r="F56" s="7"/>
      <c r="G56" s="7"/>
      <c r="H56" s="7"/>
      <c r="I56" s="5"/>
      <c r="J56" s="5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7"/>
      <c r="B57" s="7"/>
      <c r="C57" s="7"/>
      <c r="D57" s="7"/>
      <c r="E57" s="7"/>
      <c r="F57" s="7"/>
      <c r="G57" s="7"/>
      <c r="H57" s="7"/>
      <c r="I57" s="5"/>
      <c r="J57" s="5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7"/>
      <c r="B58" s="7"/>
      <c r="C58" s="7"/>
      <c r="D58" s="7"/>
      <c r="E58" s="7"/>
      <c r="F58" s="7"/>
      <c r="G58" s="7"/>
      <c r="H58" s="7"/>
      <c r="I58" s="5"/>
      <c r="J58" s="5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7"/>
      <c r="B59" s="7"/>
      <c r="C59" s="7"/>
      <c r="D59" s="7"/>
      <c r="E59" s="7"/>
      <c r="F59" s="7"/>
      <c r="G59" s="7"/>
      <c r="H59" s="7"/>
      <c r="I59" s="5"/>
      <c r="J59" s="5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7"/>
      <c r="B60" s="7"/>
      <c r="C60" s="7"/>
      <c r="D60" s="7"/>
      <c r="E60" s="7"/>
      <c r="F60" s="7"/>
      <c r="G60" s="7"/>
      <c r="H60" s="7"/>
      <c r="I60" s="5"/>
      <c r="J60" s="5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7"/>
      <c r="B61" s="7"/>
      <c r="C61" s="7"/>
      <c r="D61" s="7"/>
      <c r="E61" s="7"/>
      <c r="F61" s="7"/>
      <c r="G61" s="7"/>
      <c r="H61" s="7"/>
      <c r="I61" s="5"/>
      <c r="J61" s="5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7"/>
      <c r="B62" s="7"/>
      <c r="C62" s="7"/>
      <c r="D62" s="7"/>
      <c r="E62" s="7"/>
      <c r="F62" s="7"/>
      <c r="G62" s="7"/>
      <c r="H62" s="7"/>
      <c r="I62" s="5"/>
      <c r="J62" s="5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7"/>
      <c r="B63" s="7"/>
      <c r="C63" s="7"/>
      <c r="D63" s="7"/>
      <c r="E63" s="7"/>
      <c r="F63" s="7"/>
      <c r="G63" s="7"/>
      <c r="H63" s="7"/>
      <c r="I63" s="5"/>
      <c r="J63" s="5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7"/>
      <c r="B64" s="7"/>
      <c r="C64" s="7"/>
      <c r="D64" s="7"/>
      <c r="E64" s="7"/>
      <c r="F64" s="7"/>
      <c r="G64" s="7"/>
      <c r="H64" s="7"/>
      <c r="I64" s="5"/>
      <c r="J64" s="5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7"/>
      <c r="B65" s="7"/>
      <c r="C65" s="7"/>
      <c r="D65" s="7"/>
      <c r="E65" s="7"/>
      <c r="F65" s="7"/>
      <c r="G65" s="7"/>
      <c r="H65" s="7"/>
      <c r="I65" s="5"/>
      <c r="J65" s="5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7"/>
      <c r="B66" s="7"/>
      <c r="C66" s="7"/>
      <c r="D66" s="7"/>
      <c r="E66" s="7"/>
      <c r="F66" s="7"/>
      <c r="G66" s="7"/>
      <c r="H66" s="7"/>
      <c r="I66" s="5"/>
      <c r="J66" s="5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7"/>
      <c r="B67" s="7"/>
      <c r="C67" s="7"/>
      <c r="D67" s="7"/>
      <c r="E67" s="7"/>
      <c r="F67" s="7"/>
      <c r="G67" s="7"/>
      <c r="H67" s="7"/>
      <c r="I67" s="5"/>
      <c r="J67" s="5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7"/>
      <c r="B68" s="7"/>
      <c r="C68" s="7"/>
      <c r="D68" s="7"/>
      <c r="E68" s="7"/>
      <c r="F68" s="7"/>
      <c r="G68" s="7"/>
      <c r="H68" s="7"/>
      <c r="I68" s="5"/>
      <c r="J68" s="5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7"/>
      <c r="B69" s="7"/>
      <c r="C69" s="7"/>
      <c r="D69" s="7"/>
      <c r="E69" s="7"/>
      <c r="F69" s="7"/>
      <c r="G69" s="7"/>
      <c r="H69" s="7"/>
      <c r="I69" s="5"/>
      <c r="J69" s="5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7"/>
      <c r="B70" s="7"/>
      <c r="C70" s="7"/>
      <c r="D70" s="7"/>
      <c r="E70" s="7"/>
      <c r="F70" s="7"/>
      <c r="G70" s="7"/>
      <c r="H70" s="7"/>
      <c r="I70" s="5"/>
      <c r="J70" s="5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conditionalFormatting sqref="H1:H1000">
    <cfRule type="containsText" dxfId="0" priority="1" operator="containsText" text="ALERTA">
      <formula>NOT(ISERROR(SEARCH(("ALERTA"),(H1))))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3D80E"/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</sheetData>
  <drawing r:id="rId2"/>
</worksheet>
</file>